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f2739893a16cf1/Área de Trabalho/Cursos 2025/Bootcamp Excel com Inteligência Artificial/Criando/"/>
    </mc:Choice>
  </mc:AlternateContent>
  <xr:revisionPtr revIDLastSave="407" documentId="11_AD4D361C20488DEA4E38A028441B4CCE5BDEDD8C" xr6:coauthVersionLast="47" xr6:coauthVersionMax="47" xr10:uidLastSave="{797B588C-9CBC-486D-87E2-6C37AB7AC0F1}"/>
  <bookViews>
    <workbookView xWindow="-23148" yWindow="672" windowWidth="23256" windowHeight="12456" tabRatio="405" xr2:uid="{00000000-000D-0000-FFFF-FFFF00000000}"/>
  </bookViews>
  <sheets>
    <sheet name="Plan1" sheetId="1" r:id="rId1"/>
    <sheet name="Planilha1" sheetId="2" r:id="rId2"/>
  </sheets>
  <definedNames>
    <definedName name="aporte">Plan1!$D$17</definedName>
    <definedName name="patrimonio">Plan1!$D$20</definedName>
    <definedName name="qtd_anos">Plan1!$D$18</definedName>
    <definedName name="rendimento_carteira">Plan1!$D$13</definedName>
    <definedName name="salario">Plan1!$D$12</definedName>
    <definedName name="sugestao_investimento">Plan1!$D$14</definedName>
    <definedName name="taxa_mensal">Plan1!$D$19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D36" i="1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41" i="1" l="1"/>
  <c r="D40" i="1"/>
  <c r="D39" i="1"/>
  <c r="D38" i="1"/>
  <c r="D37" i="1"/>
  <c r="D42" i="1"/>
</calcChain>
</file>

<file path=xl/sharedStrings.xml><?xml version="1.0" encoding="utf-8"?>
<sst xmlns="http://schemas.openxmlformats.org/spreadsheetml/2006/main" count="69" uniqueCount="33">
  <si>
    <t>Quanto investir por mês ?</t>
  </si>
  <si>
    <t>Por quanto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</si>
  <si>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</si>
  <si>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</si>
  <si>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</si>
  <si>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</si>
  <si>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</si>
  <si>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</si>
  <si>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</si>
  <si>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</si>
  <si>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Quantos em 30 anos ?</t>
  </si>
  <si>
    <t>CENÁRIOS</t>
  </si>
  <si>
    <t>DIVIDENDO</t>
  </si>
  <si>
    <t>CONFIGURAÇÕES</t>
  </si>
  <si>
    <t>Rendimento Carteira</t>
  </si>
  <si>
    <t>Salário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</si>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</sst>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8" fontId="1" fillId="3" borderId="6" xfId="0" applyNumberFormat="1" applyFont="1" applyFill="1" applyBorder="1" applyAlignment="1">
      <alignment horizontal="center" vertical="center"/>
    </xf>
    <xf numFmtId="8" fontId="1" fillId="3" borderId="8" xfId="0" applyNumberFormat="1" applyFon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indent="3"/>
    </xf>
    <xf numFmtId="0" fontId="7" fillId="3" borderId="10" xfId="0" applyFont="1" applyFill="1" applyBorder="1" applyAlignment="1">
      <alignment horizontal="left" indent="3"/>
    </xf>
    <xf numFmtId="0" fontId="7" fillId="3" borderId="5" xfId="0" applyFont="1" applyFill="1" applyBorder="1" applyAlignment="1">
      <alignment horizontal="left" indent="3"/>
    </xf>
    <xf numFmtId="0" fontId="7" fillId="3" borderId="11" xfId="0" applyFont="1" applyFill="1" applyBorder="1" applyAlignment="1">
      <alignment horizontal="left" indent="3"/>
    </xf>
    <xf numFmtId="0" fontId="7" fillId="3" borderId="7" xfId="0" applyFont="1" applyFill="1" applyBorder="1" applyAlignment="1">
      <alignment horizontal="left" indent="3"/>
    </xf>
    <xf numFmtId="0" fontId="7" fillId="3" borderId="12" xfId="0" applyFont="1" applyFill="1" applyBorder="1" applyAlignment="1">
      <alignment horizontal="left" indent="3"/>
    </xf>
    <xf numFmtId="0" fontId="8" fillId="3" borderId="5" xfId="0" applyFont="1" applyFill="1" applyBorder="1" applyAlignment="1">
      <alignment horizontal="left" indent="3"/>
    </xf>
    <xf numFmtId="0" fontId="8" fillId="3" borderId="11" xfId="0" applyFont="1" applyFill="1" applyBorder="1" applyAlignment="1">
      <alignment horizontal="left" indent="3"/>
    </xf>
    <xf numFmtId="0" fontId="8" fillId="3" borderId="7" xfId="0" applyFont="1" applyFill="1" applyBorder="1" applyAlignment="1">
      <alignment horizontal="left" indent="3"/>
    </xf>
    <xf numFmtId="0" fontId="8" fillId="3" borderId="12" xfId="0" applyFont="1" applyFill="1" applyBorder="1" applyAlignment="1">
      <alignment horizontal="left" indent="3"/>
    </xf>
    <xf numFmtId="0" fontId="7" fillId="3" borderId="5" xfId="0" applyFont="1" applyFill="1" applyBorder="1" applyAlignment="1">
      <alignment horizontal="left" indent="3"/>
    </xf>
    <xf numFmtId="0" fontId="7" fillId="3" borderId="7" xfId="0" applyFont="1" applyFill="1" applyBorder="1" applyAlignment="1">
      <alignment horizontal="left" indent="3"/>
    </xf>
    <xf numFmtId="0" fontId="3" fillId="2" borderId="13" xfId="0" applyFont="1" applyFill="1" applyBorder="1" applyAlignment="1">
      <alignment horizontal="left" vertical="center" indent="3"/>
    </xf>
    <xf numFmtId="0" fontId="3" fillId="2" borderId="14" xfId="0" applyFont="1" applyFill="1" applyBorder="1" applyAlignment="1">
      <alignment horizontal="left" vertical="center" indent="3"/>
    </xf>
    <xf numFmtId="0" fontId="5" fillId="4" borderId="0" xfId="2"/>
    <xf numFmtId="0" fontId="0" fillId="3" borderId="0" xfId="0" applyFill="1"/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0" fontId="5" fillId="4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/>
    <xf numFmtId="16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6-4CE1-81E4-E331FF725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1824990</xdr:colOff>
      <xdr:row>1</xdr:row>
      <xdr:rowOff>3811</xdr:rowOff>
    </xdr:from>
    <xdr:to>
      <xdr:col>2</xdr:col>
      <xdr:colOff>1177592</xdr:colOff>
      <xdr:row>9</xdr:row>
      <xdr:rowOff>80011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BD211C5-730A-7B57-7554-0BEBF0976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6" t="2780" r="3743" b="3826"/>
        <a:stretch>
          <a:fillRect/>
        </a:stretch>
      </xdr:blipFill>
      <xdr:spPr>
        <a:xfrm>
          <a:off x="2183130" y="198121"/>
          <a:ext cx="1554782" cy="1600200"/>
        </a:xfrm>
        <a:prstGeom prst="flowChartConnector">
          <a:avLst/>
        </a:prstGeom>
      </xdr:spPr>
    </xdr:pic>
    <xdr:clientData/>
  </xdr:twoCellAnchor>
  <xdr:twoCellAnchor>
    <xdr:from>
      <xdr:col>0</xdr:col>
      <xdr:colOff>274320</xdr:colOff>
      <xdr:row>43</xdr:row>
      <xdr:rowOff>32385</xdr:rowOff>
    </xdr:from>
    <xdr:to>
      <xdr:col>4</xdr:col>
      <xdr:colOff>5715</xdr:colOff>
      <xdr:row>59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EB7DA0-DB2D-9EC7-1DC1-D5337EA52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H70"/>
  <sheetViews>
    <sheetView showGridLines="0" tabSelected="1" topLeftCell="A32" workbookViewId="0">
      <selection activeCell="C32" sqref="C32"/>
    </sheetView>
  </sheetViews>
  <sheetFormatPr defaultColWidth="0" defaultRowHeight="15" x14ac:dyDescent="0.25"/>
  <cols>
    <col min="1" max="1" width="5.42578125" customWidth="1"/>
    <col min="2" max="2" width="33" bestFit="1" customWidth="1"/>
    <col min="3" max="3" width="31.28515625" bestFit="1" customWidth="1"/>
    <col min="4" max="4" width="21.42578125" customWidth="1"/>
    <col min="5" max="5" width="4.5703125" customWidth="1"/>
    <col min="6" max="6" width="4.140625" hidden="1"/>
    <col min="9" max="16384" width="9.140625" hidden="1"/>
  </cols>
  <sheetData>
    <row r="10" spans="2:4" ht="15.75" thickBot="1" x14ac:dyDescent="0.3"/>
    <row r="11" spans="2:4" ht="23.25" x14ac:dyDescent="0.35">
      <c r="B11" s="2" t="s">
        <v>13</v>
      </c>
      <c r="C11" s="8"/>
      <c r="D11" s="3"/>
    </row>
    <row r="12" spans="2:4" ht="16.5" thickBot="1" x14ac:dyDescent="0.3">
      <c r="B12" s="21" t="s">
        <v>15</v>
      </c>
      <c r="C12" s="22"/>
      <c r="D12" s="4">
        <v>4200</v>
      </c>
    </row>
    <row r="13" spans="2:4" ht="16.5" thickBot="1" x14ac:dyDescent="0.3">
      <c r="B13" s="23" t="s">
        <v>14</v>
      </c>
      <c r="C13" s="24"/>
      <c r="D13" s="6">
        <v>6.0000000000000001E-3</v>
      </c>
    </row>
    <row r="14" spans="2:4" ht="16.5" thickBot="1" x14ac:dyDescent="0.3">
      <c r="B14" s="25" t="s">
        <v>32</v>
      </c>
      <c r="C14" s="26"/>
      <c r="D14" s="5">
        <f>D12*30%</f>
        <v>1260</v>
      </c>
    </row>
    <row r="15" spans="2:4" ht="15.75" thickBot="1" x14ac:dyDescent="0.3"/>
    <row r="16" spans="2:4" ht="26.25" x14ac:dyDescent="0.4">
      <c r="B16" s="7" t="s">
        <v>5</v>
      </c>
      <c r="C16" s="9"/>
      <c r="D16" s="10"/>
    </row>
    <row r="17" spans="1:4" ht="16.5" thickBot="1" x14ac:dyDescent="0.3">
      <c r="B17" s="21" t="s">
        <v>0</v>
      </c>
      <c r="C17" s="22"/>
      <c r="D17" s="12">
        <v>200</v>
      </c>
    </row>
    <row r="18" spans="1:4" ht="16.5" thickBot="1" x14ac:dyDescent="0.3">
      <c r="B18" s="23" t="s">
        <v>1</v>
      </c>
      <c r="C18" s="24"/>
      <c r="D18" s="13">
        <v>5</v>
      </c>
    </row>
    <row r="19" spans="1:4" ht="16.5" thickBot="1" x14ac:dyDescent="0.3">
      <c r="B19" s="23" t="s">
        <v>2</v>
      </c>
      <c r="C19" s="24"/>
      <c r="D19" s="14">
        <v>1.0789999999999999E-2</v>
      </c>
    </row>
    <row r="20" spans="1:4" ht="16.5" thickBot="1" x14ac:dyDescent="0.3">
      <c r="B20" s="27" t="s">
        <v>3</v>
      </c>
      <c r="C20" s="28"/>
      <c r="D20" s="15">
        <f>FV(taxa_mensal,qtd_anos*12,aporte*-1)</f>
        <v>16755.382799697527</v>
      </c>
    </row>
    <row r="21" spans="1:4" ht="16.5" thickBot="1" x14ac:dyDescent="0.3">
      <c r="B21" s="29" t="s">
        <v>4</v>
      </c>
      <c r="C21" s="30"/>
      <c r="D21" s="16">
        <f>patrimonio*rendimento_carteira</f>
        <v>100.53229679818516</v>
      </c>
    </row>
    <row r="22" spans="1:4" ht="15.75" thickBot="1" x14ac:dyDescent="0.3"/>
    <row r="23" spans="1:4" ht="27" thickBot="1" x14ac:dyDescent="0.3">
      <c r="B23" s="33" t="s">
        <v>11</v>
      </c>
      <c r="C23" s="34"/>
      <c r="D23" s="20" t="s">
        <v>12</v>
      </c>
    </row>
    <row r="24" spans="1:4" ht="16.5" thickBot="1" x14ac:dyDescent="0.3">
      <c r="A24" s="1">
        <v>2</v>
      </c>
      <c r="B24" s="31" t="s">
        <v>6</v>
      </c>
      <c r="C24" s="11">
        <f>FV($D$19,$A24*12,$D$17*-1)</f>
        <v>5445.5254595290435</v>
      </c>
      <c r="D24" s="17">
        <f>C24*rendimento_carteira</f>
        <v>32.673152757174265</v>
      </c>
    </row>
    <row r="25" spans="1:4" ht="16.5" thickBot="1" x14ac:dyDescent="0.3">
      <c r="A25" s="1">
        <v>5</v>
      </c>
      <c r="B25" s="31" t="s">
        <v>7</v>
      </c>
      <c r="C25" s="11">
        <f>FV($D$19,$A25*12,$D$17*-1)</f>
        <v>16755.382799697527</v>
      </c>
      <c r="D25" s="17">
        <f>C25*rendimento_carteira</f>
        <v>100.53229679818516</v>
      </c>
    </row>
    <row r="26" spans="1:4" ht="16.5" thickBot="1" x14ac:dyDescent="0.3">
      <c r="A26" s="1">
        <v>10</v>
      </c>
      <c r="B26" s="31" t="s">
        <v>8</v>
      </c>
      <c r="C26" s="11">
        <f>FV($D$19,$A26*12,$D$17*-1)</f>
        <v>48656.842506034438</v>
      </c>
      <c r="D26" s="17">
        <f>C26*rendimento_carteira</f>
        <v>291.94105503620665</v>
      </c>
    </row>
    <row r="27" spans="1:4" ht="16.5" thickBot="1" x14ac:dyDescent="0.3">
      <c r="A27" s="1">
        <v>20</v>
      </c>
      <c r="B27" s="31" t="s">
        <v>9</v>
      </c>
      <c r="C27" s="11">
        <f>FV($D$19,$A27*12,$D$17*-1)</f>
        <v>225039.68001941612</v>
      </c>
      <c r="D27" s="17">
        <f>C27*rendimento_carteira</f>
        <v>1350.2380801164968</v>
      </c>
    </row>
    <row r="28" spans="1:4" ht="16.5" thickBot="1" x14ac:dyDescent="0.3">
      <c r="A28" s="1">
        <v>30</v>
      </c>
      <c r="B28" s="32" t="s">
        <v>10</v>
      </c>
      <c r="C28" s="18">
        <f>FV($D$19,$A28*12,$D$17*-1)</f>
        <v>864433.93100094295</v>
      </c>
      <c r="D28" s="19">
        <f>C28*rendimento_carteira</f>
        <v>5186.6035860056581</v>
      </c>
    </row>
    <row r="32" spans="1:4" x14ac:dyDescent="0.25">
      <c r="B32" s="35" t="s">
        <v>19</v>
      </c>
      <c r="C32" s="39" t="s">
        <v>17</v>
      </c>
      <c r="D32" s="35"/>
    </row>
    <row r="33" spans="2:4" x14ac:dyDescent="0.25">
      <c r="B33" s="37" t="s">
        <v>18</v>
      </c>
      <c r="C33" s="38">
        <f>aporte</f>
        <v>200</v>
      </c>
      <c r="D33" s="36"/>
    </row>
    <row r="35" spans="2:4" x14ac:dyDescent="0.25">
      <c r="B35" s="45" t="s">
        <v>20</v>
      </c>
      <c r="C35" s="45" t="s">
        <v>21</v>
      </c>
      <c r="D35" s="45" t="s">
        <v>22</v>
      </c>
    </row>
    <row r="36" spans="2:4" x14ac:dyDescent="0.25">
      <c r="B36" s="40" t="s">
        <v>23</v>
      </c>
      <c r="C36" s="41">
        <f>VLOOKUP($C$32&amp;"-"&amp;B36,Planilha1!$A:$D,4,FALSE)</f>
        <v>0.5</v>
      </c>
      <c r="D36" s="42">
        <f>$C$33*C36</f>
        <v>100</v>
      </c>
    </row>
    <row r="37" spans="2:4" x14ac:dyDescent="0.25">
      <c r="B37" s="40" t="s">
        <v>24</v>
      </c>
      <c r="C37" s="41">
        <f>VLOOKUP($C$32&amp;"-"&amp;B37,Planilha1!$A:$D,4,FALSE)</f>
        <v>0.1</v>
      </c>
      <c r="D37" s="42">
        <f t="shared" ref="D37:D41" si="0">$C$33*C37</f>
        <v>20</v>
      </c>
    </row>
    <row r="38" spans="2:4" x14ac:dyDescent="0.25">
      <c r="B38" s="40" t="s">
        <v>25</v>
      </c>
      <c r="C38" s="41">
        <f>VLOOKUP($C$32&amp;"-"&amp;B38,Planilha1!$A:$D,4,FALSE)</f>
        <v>0.05</v>
      </c>
      <c r="D38" s="42">
        <f t="shared" si="0"/>
        <v>10</v>
      </c>
    </row>
    <row r="39" spans="2:4" x14ac:dyDescent="0.25">
      <c r="B39" s="40" t="s">
        <v>26</v>
      </c>
      <c r="C39" s="41">
        <f>VLOOKUP($C$32&amp;"-"&amp;B39,Planilha1!$A:$D,4,FALSE)</f>
        <v>0.05</v>
      </c>
      <c r="D39" s="42">
        <f t="shared" si="0"/>
        <v>10</v>
      </c>
    </row>
    <row r="40" spans="2:4" x14ac:dyDescent="0.25">
      <c r="B40" s="40" t="s">
        <v>27</v>
      </c>
      <c r="C40" s="41">
        <f>VLOOKUP($C$32&amp;"-"&amp;B40,Planilha1!$A:$D,4,FALSE)</f>
        <v>0.2</v>
      </c>
      <c r="D40" s="42">
        <f t="shared" si="0"/>
        <v>40</v>
      </c>
    </row>
    <row r="41" spans="2:4" x14ac:dyDescent="0.25">
      <c r="B41" s="40" t="s">
        <v>28</v>
      </c>
      <c r="C41" s="41">
        <f>VLOOKUP($C$32&amp;"-"&amp;B41,Planilha1!$A:$D,4,FALSE)</f>
        <v>0.1</v>
      </c>
      <c r="D41" s="42">
        <f t="shared" si="0"/>
        <v>20</v>
      </c>
    </row>
    <row r="42" spans="2:4" x14ac:dyDescent="0.25">
      <c r="B42" s="43"/>
      <c r="C42" s="43"/>
      <c r="D42" s="44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</sheetData>
  <mergeCells count="11">
    <mergeCell ref="B23:C23"/>
    <mergeCell ref="B11:D11"/>
    <mergeCell ref="B16:D16"/>
    <mergeCell ref="B17:C17"/>
    <mergeCell ref="B18:C18"/>
    <mergeCell ref="B19:C19"/>
    <mergeCell ref="B20:C20"/>
    <mergeCell ref="B21:C21"/>
    <mergeCell ref="B12:C12"/>
    <mergeCell ref="B13:C13"/>
    <mergeCell ref="B14:C14"/>
  </mergeCells>
  <dataValidations count="1">
    <dataValidation type="list" allowBlank="1" showInputMessage="1" showErrorMessage="1" sqref="C32" xr:uid="{AF73BA6F-1D9E-41E8-9440-C446784EC52E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5A36-7B51-48E2-8620-D36B202088ED}">
  <dimension ref="A1:D20"/>
  <sheetViews>
    <sheetView workbookViewId="0">
      <selection activeCell="H8" sqref="H8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</cols>
  <sheetData>
    <row r="1" spans="1:4" x14ac:dyDescent="0.25">
      <c r="A1" s="1"/>
      <c r="B1" s="1"/>
      <c r="C1" s="1"/>
      <c r="D1" s="1"/>
    </row>
    <row r="2" spans="1:4" x14ac:dyDescent="0.25">
      <c r="A2" s="51" t="s">
        <v>31</v>
      </c>
      <c r="B2" s="51" t="s">
        <v>19</v>
      </c>
      <c r="C2" s="51" t="s">
        <v>20</v>
      </c>
      <c r="D2" s="51" t="s">
        <v>30</v>
      </c>
    </row>
    <row r="3" spans="1:4" x14ac:dyDescent="0.25">
      <c r="A3" t="str">
        <f>B3&amp;"-"&amp;C3</f>
        <v>Conservador-PAPEL</v>
      </c>
      <c r="B3" t="s">
        <v>29</v>
      </c>
      <c r="C3" s="40" t="s">
        <v>23</v>
      </c>
      <c r="D3" s="41">
        <v>0.3</v>
      </c>
    </row>
    <row r="4" spans="1:4" x14ac:dyDescent="0.25">
      <c r="A4" t="str">
        <f t="shared" ref="A4:A20" si="0">B4&amp;"-"&amp;C4</f>
        <v>Conservador-TIJOLO</v>
      </c>
      <c r="B4" t="s">
        <v>29</v>
      </c>
      <c r="C4" s="40" t="s">
        <v>24</v>
      </c>
      <c r="D4" s="41">
        <v>0.5</v>
      </c>
    </row>
    <row r="5" spans="1:4" x14ac:dyDescent="0.25">
      <c r="A5" t="str">
        <f t="shared" si="0"/>
        <v>Conservador-HÍBRIDOS</v>
      </c>
      <c r="B5" t="s">
        <v>29</v>
      </c>
      <c r="C5" s="40" t="s">
        <v>25</v>
      </c>
      <c r="D5" s="41">
        <v>0.1</v>
      </c>
    </row>
    <row r="6" spans="1:4" x14ac:dyDescent="0.25">
      <c r="A6" t="str">
        <f t="shared" si="0"/>
        <v>Conservador-FOFs</v>
      </c>
      <c r="B6" t="s">
        <v>29</v>
      </c>
      <c r="C6" s="40" t="s">
        <v>26</v>
      </c>
      <c r="D6" s="41">
        <v>0.1</v>
      </c>
    </row>
    <row r="7" spans="1:4" x14ac:dyDescent="0.25">
      <c r="A7" t="str">
        <f t="shared" si="0"/>
        <v>Conservador-DESENVOLVIMENTO</v>
      </c>
      <c r="B7" t="s">
        <v>29</v>
      </c>
      <c r="C7" s="40" t="s">
        <v>27</v>
      </c>
      <c r="D7" s="41">
        <v>0</v>
      </c>
    </row>
    <row r="8" spans="1:4" ht="15.75" thickBot="1" x14ac:dyDescent="0.3">
      <c r="A8" s="46" t="str">
        <f t="shared" si="0"/>
        <v>Conservador-HOTELARIAS</v>
      </c>
      <c r="B8" s="46" t="s">
        <v>29</v>
      </c>
      <c r="C8" s="47" t="s">
        <v>28</v>
      </c>
      <c r="D8" s="48">
        <v>0</v>
      </c>
    </row>
    <row r="9" spans="1:4" x14ac:dyDescent="0.25">
      <c r="A9" t="str">
        <f t="shared" si="0"/>
        <v>Moderado-PAPEL</v>
      </c>
      <c r="B9" t="s">
        <v>16</v>
      </c>
      <c r="C9" s="40" t="s">
        <v>23</v>
      </c>
      <c r="D9" s="49">
        <v>0.32</v>
      </c>
    </row>
    <row r="10" spans="1:4" x14ac:dyDescent="0.25">
      <c r="A10" t="str">
        <f t="shared" si="0"/>
        <v>Moderado-TIJOLO</v>
      </c>
      <c r="B10" t="s">
        <v>16</v>
      </c>
      <c r="C10" s="40" t="s">
        <v>24</v>
      </c>
      <c r="D10" s="49">
        <v>0.35</v>
      </c>
    </row>
    <row r="11" spans="1:4" x14ac:dyDescent="0.25">
      <c r="A11" t="str">
        <f t="shared" si="0"/>
        <v>Moderado-HÍBRIDOS</v>
      </c>
      <c r="B11" t="s">
        <v>16</v>
      </c>
      <c r="C11" s="40" t="s">
        <v>25</v>
      </c>
      <c r="D11" s="49">
        <v>0.08</v>
      </c>
    </row>
    <row r="12" spans="1:4" x14ac:dyDescent="0.25">
      <c r="A12" t="str">
        <f t="shared" si="0"/>
        <v>Moderado-FOFs</v>
      </c>
      <c r="B12" t="s">
        <v>16</v>
      </c>
      <c r="C12" s="40" t="s">
        <v>26</v>
      </c>
      <c r="D12" s="49">
        <v>0.05</v>
      </c>
    </row>
    <row r="13" spans="1:4" x14ac:dyDescent="0.25">
      <c r="A13" t="str">
        <f t="shared" si="0"/>
        <v>Moderado-DESENVOLVIMENTO</v>
      </c>
      <c r="B13" t="s">
        <v>16</v>
      </c>
      <c r="C13" s="40" t="s">
        <v>27</v>
      </c>
      <c r="D13" s="49">
        <v>0.1</v>
      </c>
    </row>
    <row r="14" spans="1:4" ht="15.75" thickBot="1" x14ac:dyDescent="0.3">
      <c r="A14" s="46" t="str">
        <f t="shared" si="0"/>
        <v>Moderado-HOTELARIAS</v>
      </c>
      <c r="B14" s="46" t="s">
        <v>16</v>
      </c>
      <c r="C14" s="47" t="s">
        <v>28</v>
      </c>
      <c r="D14" s="50">
        <v>0.1</v>
      </c>
    </row>
    <row r="15" spans="1:4" x14ac:dyDescent="0.25">
      <c r="A15" t="str">
        <f t="shared" si="0"/>
        <v>Agressivo-PAPEL</v>
      </c>
      <c r="B15" t="s">
        <v>17</v>
      </c>
      <c r="C15" s="40" t="s">
        <v>23</v>
      </c>
      <c r="D15" s="49">
        <v>0.5</v>
      </c>
    </row>
    <row r="16" spans="1:4" x14ac:dyDescent="0.25">
      <c r="A16" t="str">
        <f t="shared" si="0"/>
        <v>Agressivo-TIJOLO</v>
      </c>
      <c r="B16" t="s">
        <v>17</v>
      </c>
      <c r="C16" s="40" t="s">
        <v>24</v>
      </c>
      <c r="D16" s="49">
        <v>0.1</v>
      </c>
    </row>
    <row r="17" spans="1:4" x14ac:dyDescent="0.25">
      <c r="A17" t="str">
        <f t="shared" si="0"/>
        <v>Agressivo-HÍBRIDOS</v>
      </c>
      <c r="B17" t="s">
        <v>17</v>
      </c>
      <c r="C17" s="40" t="s">
        <v>25</v>
      </c>
      <c r="D17" s="49">
        <v>0.05</v>
      </c>
    </row>
    <row r="18" spans="1:4" x14ac:dyDescent="0.25">
      <c r="A18" t="str">
        <f t="shared" si="0"/>
        <v>Agressivo-FOFs</v>
      </c>
      <c r="B18" t="s">
        <v>17</v>
      </c>
      <c r="C18" s="40" t="s">
        <v>26</v>
      </c>
      <c r="D18" s="49">
        <v>0.05</v>
      </c>
    </row>
    <row r="19" spans="1:4" x14ac:dyDescent="0.25">
      <c r="A19" t="str">
        <f t="shared" si="0"/>
        <v>Agressivo-DESENVOLVIMENTO</v>
      </c>
      <c r="B19" t="s">
        <v>17</v>
      </c>
      <c r="C19" s="40" t="s">
        <v>27</v>
      </c>
      <c r="D19" s="49">
        <v>0.2</v>
      </c>
    </row>
    <row r="20" spans="1:4" x14ac:dyDescent="0.25">
      <c r="A20" t="str">
        <f t="shared" si="0"/>
        <v>Agressivo-HOTELARIAS</v>
      </c>
      <c r="B20" t="s">
        <v>17</v>
      </c>
      <c r="C20" s="40" t="s">
        <v>28</v>
      </c>
      <c r="D20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Plan1</vt:lpstr>
      <vt:lpstr>Planilha1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Kleyton Oliveira</dc:creator>
  <cp:lastModifiedBy>Kleyton Oliveira</cp:lastModifiedBy>
  <dcterms:created xsi:type="dcterms:W3CDTF">2015-06-05T18:19:34Z</dcterms:created>
  <dcterms:modified xsi:type="dcterms:W3CDTF">2025-12-01T00:31:20Z</dcterms:modified>
</cp:coreProperties>
</file>